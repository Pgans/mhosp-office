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74" i="1" l="1"/>
  <c r="D39" i="1"/>
  <c r="D34" i="1"/>
  <c r="D20" i="1"/>
  <c r="D18" i="1"/>
  <c r="D15" i="1"/>
  <c r="D11" i="1"/>
  <c r="D7" i="1"/>
  <c r="D3" i="1"/>
</calcChain>
</file>

<file path=xl/sharedStrings.xml><?xml version="1.0" encoding="utf-8"?>
<sst xmlns="http://schemas.openxmlformats.org/spreadsheetml/2006/main" count="192" uniqueCount="129">
  <si>
    <t>IP ในเขต</t>
  </si>
  <si>
    <t>OTCS</t>
  </si>
  <si>
    <t>กองทุน On Top สำหรับสิทธิข้าราชการ</t>
  </si>
  <si>
    <t>OPCS</t>
  </si>
  <si>
    <t>กองทุนผู้ป่วยนอก สำหรับสิทธิข้าราชการ</t>
  </si>
  <si>
    <t>IPCS</t>
  </si>
  <si>
    <t>กองทุนผู้ป่วยใน สำหรับสิทธิข้าราชการ</t>
  </si>
  <si>
    <t>PP_HEALTH_CHECKUP</t>
  </si>
  <si>
    <t>บริการคัดกรองและประเมินปัจจัยเสี่ยงต่อสุขภาพกาย/สุขภาพจิต (SCR)</t>
  </si>
  <si>
    <t>PALLIATIVE-CARE</t>
  </si>
  <si>
    <t>กองทุน PALLIATIVE-CARE</t>
  </si>
  <si>
    <t>IPINRGR-COVID-PAN</t>
  </si>
  <si>
    <t>(บริการรักษา COVID กรณีปรับเป็นโรคประจำถิ่น)IP ในเขต</t>
  </si>
  <si>
    <t>OTLG</t>
  </si>
  <si>
    <t>กองทุน On Top สำหรับสิทธิองค์การปกครองส่วนท้องถิ่น</t>
  </si>
  <si>
    <t>OPLG</t>
  </si>
  <si>
    <t>กองทุนผู้ป่วยนอก สำหรับสิทธิองค์การปกครองส่วนท้องถิ่น</t>
  </si>
  <si>
    <t>IPAEC</t>
  </si>
  <si>
    <t>IP ข้ามเขต</t>
  </si>
  <si>
    <t>IPLG</t>
  </si>
  <si>
    <t>กองทุนผู้ป่วยใน สำหรับสิทธิองค์การปกครองส่วนท้องถิ่น</t>
  </si>
  <si>
    <t>OPINST</t>
  </si>
  <si>
    <t>อุปกรณ์และอวัยวะเทียมในการบำบัดรักษาโรค (Instrument)</t>
  </si>
  <si>
    <t>ANC</t>
  </si>
  <si>
    <t>กองทุนผู้ป่วยนอก บริการฝากครรภ์</t>
  </si>
  <si>
    <t>IPAER</t>
  </si>
  <si>
    <t>CARREF</t>
  </si>
  <si>
    <t>ค่าพาหนะในการรับส่งต่อ (ค่ารถ, ค่าเรือ/แพขนานยนต์, ค่าเฮลิคอร์ปเตอร์) กรณีเข้าเกณฑ์กองทุน AE</t>
  </si>
  <si>
    <t>FPNHSO</t>
  </si>
  <si>
    <t>การวางแผนครอบครัว</t>
  </si>
  <si>
    <t>INSTCS</t>
  </si>
  <si>
    <t>กองทุนอุปกรณ์ทางการแพทย์ สำหรับสิทธิข้าราชการ</t>
  </si>
  <si>
    <t>DENTURE</t>
  </si>
  <si>
    <t>OPAE</t>
  </si>
  <si>
    <t>อุบัติเหตุ ฉุกเฉิน (OPAE)</t>
  </si>
  <si>
    <t>COVID_7D</t>
  </si>
  <si>
    <t>ค่าดูแลการให้บริการผู้ป่วย ตั้งแต่ 7 วันขึ้นไป ไม่รวมการจัดอาหาร</t>
  </si>
  <si>
    <t>IPNB-R</t>
  </si>
  <si>
    <t>สิทธิ์ว่าง (IPPUC) รวมเด็กแรกเกิด กลุ่มอื่นๆ</t>
  </si>
  <si>
    <t>TELEMED</t>
  </si>
  <si>
    <t>กรณีบริการสาธารณสุขระบบทางไกล(Telehealth/Telemedicine)</t>
  </si>
  <si>
    <t>ANC_DENT</t>
  </si>
  <si>
    <t>บริการตรวจสุขภาพช่องปากและขัดทำความสะอาดฟัน หญิงตั้งครรภ์</t>
  </si>
  <si>
    <t>PP_CA_COLORECTAL</t>
  </si>
  <si>
    <t>บริการตรวจคัดกรองมะเร็งลำไส้ใหญ่และสำไส้ตรง (Fit test)</t>
  </si>
  <si>
    <t>OPKTMN</t>
  </si>
  <si>
    <t>กองทุนผู้ป่วยนอก สำหรับสิทธิกรุงเทพมหานคร</t>
  </si>
  <si>
    <t>IPBKKC</t>
  </si>
  <si>
    <t>OTKTMN</t>
  </si>
  <si>
    <t>กองทุน On Top สำหรับสิทธิกรุงเทพมหานคร</t>
  </si>
  <si>
    <t>ANC_ULTRA</t>
  </si>
  <si>
    <t>บริการตรวจอัลตราซาวด์ หญิงตั้งครรภ์</t>
  </si>
  <si>
    <t>OPAE-DRUG</t>
  </si>
  <si>
    <t>COVID_HI</t>
  </si>
  <si>
    <t>Home Isolation บริการตรวจไวรัสโคโรนา (COVID-19)</t>
  </si>
  <si>
    <t>IPKTMN</t>
  </si>
  <si>
    <t>กองทุนผู้ป่วยใน สำหรับสิทธิกรุงเทพมหานคร</t>
  </si>
  <si>
    <t>COVID_7DF</t>
  </si>
  <si>
    <t>ค่าดูแลการให้บริการผู้ป่วย ตั้งแต่ 7 วันขึ้นไป รวมการจัดอาหาร</t>
  </si>
  <si>
    <t>HERB</t>
  </si>
  <si>
    <t>บริการแพทย์แผนไทย ยาสมุนไพร กลุ่มที่มีประสิทธิภาพชัดเจน/ใช้ทดแทนยาแผนปัจจุบัน</t>
  </si>
  <si>
    <t>INSTLG</t>
  </si>
  <si>
    <t>กองทุนอุปกรณ์ทางการแพทย์ สำหรับสิทธิองค์การปกครองส่วนท้องถิ่น</t>
  </si>
  <si>
    <t>CARAE</t>
  </si>
  <si>
    <t>STEMI-DRUG</t>
  </si>
  <si>
    <t>ยาละลายลิ่มเลือด (STEMI1,STEMI2)</t>
  </si>
  <si>
    <t>CLOPIDOGREL_DRUG</t>
  </si>
  <si>
    <t>กองทุนชดเชยยา Clopidogrel</t>
  </si>
  <si>
    <t>IPPUC</t>
  </si>
  <si>
    <t>สิทธิ์ว่าง (IPPUC) รวมเด็กแรกเกิด</t>
  </si>
  <si>
    <t>COVID_OP_SELF</t>
  </si>
  <si>
    <t>ค่าบริการดูแลรักษา แบบผู้ป่วยนอกและแยกกักตัวที่บ้าน (OP self Isolation)</t>
  </si>
  <si>
    <t>INST</t>
  </si>
  <si>
    <t>PP_ANC_PNC</t>
  </si>
  <si>
    <t>การตรวจหลังคลอด (PNC)</t>
  </si>
  <si>
    <t>COVIDPUI_NEG</t>
  </si>
  <si>
    <t>บริการตรวจไวรัสโคโรนา (COVID-19) ค่า LAB ผล Negative</t>
  </si>
  <si>
    <t>PP_ANC_PRT</t>
  </si>
  <si>
    <t>การทดสอบการตั้งครรภ์ (PRT)</t>
  </si>
  <si>
    <t>OPAE-COVID-PAN</t>
  </si>
  <si>
    <t>(บริการรักษา COVID กรณีปรับเป็นโรคประจำถิ่น)อุบัติเหตุ ฉุกเฉิน (OPAE)</t>
  </si>
  <si>
    <t>IPAE1-ST</t>
  </si>
  <si>
    <t>(สิทธSTP:Stateless)ผู้ป่วยในอุบัติเหตุและเจ็บป่วยฉุกเฉิน ในสังกัดกระทรวงสาธารณสุข</t>
  </si>
  <si>
    <t>IPAER-COVID-PAN</t>
  </si>
  <si>
    <t>WALKIN</t>
  </si>
  <si>
    <t>รายการ FS ตามนโยบายรัฐมนตรี กรณีผู้ป่วยนอกรับบริการกรณีเหตุสมควร (Walk-In)</t>
  </si>
  <si>
    <t>IPBKKC-COVID-PAN</t>
  </si>
  <si>
    <t>(บริการรักษา COVID กรณีปรับเป็นโรคประจำถิ่น)IP ข้ามเขต</t>
  </si>
  <si>
    <t>CARREF-PUC</t>
  </si>
  <si>
    <t>CHANGE_RIGHT</t>
  </si>
  <si>
    <t>รายการ FS ตามนโยบายรัฐมนตรี กรณีย้ายหน่วยบริการเกิดสิทธิทันที</t>
  </si>
  <si>
    <t>IPINSPSN-C</t>
  </si>
  <si>
    <t>IP ข้ามเขต (HMAIN2 กลุ่ม SPSN)</t>
  </si>
  <si>
    <t>ACUPUNCTURE</t>
  </si>
  <si>
    <t>บริการฝังเข็ม</t>
  </si>
  <si>
    <t>WALKIN_DRUG_OTHER</t>
  </si>
  <si>
    <t>รายการ FS ตามนโยบายรัฐมนตรี กรณีผู้ป่วยนอกรับบริการกรณีเหตุสมควร (Walk-In) ค่ายา</t>
  </si>
  <si>
    <t>OPAE-DRUG-COVID-PAN</t>
  </si>
  <si>
    <t>IPNORMAL-ST</t>
  </si>
  <si>
    <t>(สิทธSTP:Stateless)ผู้ป่วยใน กรณีปกติ</t>
  </si>
  <si>
    <t>COVID_LAB</t>
  </si>
  <si>
    <t>บริการตรวจไวรัสโคโรนา (COVID-19) SEV7</t>
  </si>
  <si>
    <t>IPAEC-COVID-PAN</t>
  </si>
  <si>
    <t>OP_SCREENING-COVID-PAN</t>
  </si>
  <si>
    <t>(บริการรักษา COVID กรณีปรับเป็นโรคประจำถิ่น)บริการตรวจ LAB COVID ผู้ป่วยนอก</t>
  </si>
  <si>
    <t>CHANGE_RIGHT_DRUG_OTHER</t>
  </si>
  <si>
    <t>รายการ FS ตามนโยบายรัฐมนตรี กรณีย้ายหน่วยบริการเกิดสิทธิทันที ค่ายา</t>
  </si>
  <si>
    <t>COVIDPUI_POS_HI</t>
  </si>
  <si>
    <t>Home Isolation บริการตรวจไวรัสโคโรนา (COVID-19) ค่า LAB ผล Positive</t>
  </si>
  <si>
    <t>HPV_DNA_SEND</t>
  </si>
  <si>
    <t>บริการตรวจคัดกรองมะเร็งปากมดลูก ด้วยวิธี HPV DNA Test (หน่วยเฉพาะเก็บ)</t>
  </si>
  <si>
    <t>COVID_LG</t>
  </si>
  <si>
    <t>บริการตรวจไวรัสโคโรนา (COVID-19)</t>
  </si>
  <si>
    <t>INSTKTMN</t>
  </si>
  <si>
    <t>กองทุนอุปกรณ์ทางการแพทย์ สำหรับสิทธิกรุงเทพมหานคร</t>
  </si>
  <si>
    <t>OP_SCREENING</t>
  </si>
  <si>
    <t>บริการตรวจ LAB COVID ผู้ป่วยนอก</t>
  </si>
  <si>
    <t>COVID</t>
  </si>
  <si>
    <t>PP_CBC</t>
  </si>
  <si>
    <t>บริการคัดกรองโลหิตจางจากการขาดธาตุเหล็ก(CBC)</t>
  </si>
  <si>
    <t>OPAE1-ST</t>
  </si>
  <si>
    <t>(สิทธSTP:Stateless)ผู้ป่วยนอกฉุกเฉินนอกจังหวัด รักษา รพ ในสังกัดกระทรวงสาธารณสุข</t>
  </si>
  <si>
    <t>CHEST_X_RAY_COVID</t>
  </si>
  <si>
    <t>Chest X-ray กรณี Home &amp; Community Isolation (COVID-19)</t>
  </si>
  <si>
    <t>รหัส</t>
  </si>
  <si>
    <t>ชื่อรายการ</t>
  </si>
  <si>
    <t>จำนวนเงิน</t>
  </si>
  <si>
    <t>IPINRGR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</si>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</sst>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Tahoma"/>
      <family val="2"/>
      <scheme val="minor"/>
    </font>
    <font>
      <sz val="12"/>
      <color rgb="FF23282C"/>
      <name val="Kanitregular"/>
    </font>
    <font>
      <b/>
      <sz val="12"/>
      <color rgb="FF23282C"/>
      <name val="Kanitregular"/>
      <charset val="222"/>
    </font>
    <font>
      <b/>
      <sz val="11"/>
      <color theme="1"/>
      <name val="Tahoma"/>
      <family val="2"/>
      <scheme val="minor"/>
    </font>
    <font>
      <b/>
      <sz val="12"/>
      <color rgb="FF23282C"/>
      <name val="Kanitregula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3" fontId="1" fillId="2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4" fontId="4" fillId="2" borderId="6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3" fontId="1" fillId="2" borderId="8" xfId="0" applyNumberFormat="1" applyFont="1" applyFill="1" applyBorder="1" applyAlignment="1">
      <alignment horizontal="right" vertical="center" wrapText="1"/>
    </xf>
    <xf numFmtId="4" fontId="3" fillId="0" borderId="9" xfId="0" applyNumberFormat="1" applyFont="1" applyBorder="1" applyAlignment="1">
      <alignment horizontal="right" vertical="center" wrapText="1"/>
    </xf>
    <xf numFmtId="0" fontId="1" fillId="2" borderId="10" xfId="0" applyFont="1" applyFill="1" applyBorder="1" applyAlignment="1">
      <alignment vertical="center" wrapText="1"/>
    </xf>
    <xf numFmtId="4" fontId="3" fillId="0" borderId="11" xfId="0" applyNumberFormat="1" applyFont="1" applyBorder="1" applyAlignment="1">
      <alignment horizontal="right"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3" fontId="1" fillId="2" borderId="13" xfId="0" applyNumberFormat="1" applyFont="1" applyFill="1" applyBorder="1" applyAlignment="1">
      <alignment horizontal="right" vertical="center" wrapText="1"/>
    </xf>
    <xf numFmtId="4" fontId="3" fillId="0" borderId="14" xfId="0" applyNumberFormat="1" applyFont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4" fontId="4" fillId="2" borderId="9" xfId="0" applyNumberFormat="1" applyFont="1" applyFill="1" applyBorder="1" applyAlignment="1">
      <alignment horizontal="right" vertical="center" wrapText="1"/>
    </xf>
    <xf numFmtId="4" fontId="4" fillId="2" borderId="11" xfId="0" applyNumberFormat="1" applyFont="1" applyFill="1" applyBorder="1" applyAlignment="1">
      <alignment horizontal="right" vertical="center" wrapText="1"/>
    </xf>
    <xf numFmtId="4" fontId="4" fillId="2" borderId="14" xfId="0" applyNumberFormat="1" applyFont="1" applyFill="1" applyBorder="1" applyAlignment="1">
      <alignment horizontal="right" vertical="center" wrapText="1"/>
    </xf>
    <xf numFmtId="3" fontId="1" fillId="3" borderId="8" xfId="0" applyNumberFormat="1" applyFont="1" applyFill="1" applyBorder="1" applyAlignment="1">
      <alignment horizontal="right" vertical="center" wrapText="1"/>
    </xf>
    <xf numFmtId="4" fontId="3" fillId="0" borderId="9" xfId="0" applyNumberFormat="1" applyFont="1" applyBorder="1" applyAlignment="1">
      <alignment horizontal="right" vertical="center" wrapText="1"/>
    </xf>
    <xf numFmtId="4" fontId="3" fillId="0" borderId="11" xfId="0" applyNumberFormat="1" applyFont="1" applyBorder="1" applyAlignment="1">
      <alignment horizontal="right" vertical="center" wrapText="1"/>
    </xf>
    <xf numFmtId="3" fontId="1" fillId="3" borderId="13" xfId="0" applyNumberFormat="1" applyFont="1" applyFill="1" applyBorder="1" applyAlignment="1">
      <alignment horizontal="right" vertical="center" wrapText="1"/>
    </xf>
    <xf numFmtId="4" fontId="3" fillId="0" borderId="14" xfId="0" applyNumberFormat="1" applyFont="1" applyBorder="1" applyAlignment="1">
      <alignment horizontal="right" vertical="center" wrapText="1"/>
    </xf>
    <xf numFmtId="3" fontId="2" fillId="4" borderId="8" xfId="0" applyNumberFormat="1" applyFont="1" applyFill="1" applyBorder="1" applyAlignment="1">
      <alignment horizontal="right" vertical="center" wrapText="1"/>
    </xf>
    <xf numFmtId="3" fontId="2" fillId="4" borderId="13" xfId="0" applyNumberFormat="1" applyFont="1" applyFill="1" applyBorder="1" applyAlignment="1">
      <alignment horizontal="right" vertical="center" wrapText="1"/>
    </xf>
    <xf numFmtId="3" fontId="2" fillId="5" borderId="5" xfId="0" applyNumberFormat="1" applyFont="1" applyFill="1" applyBorder="1" applyAlignment="1">
      <alignment horizontal="right" vertical="center" wrapText="1"/>
    </xf>
    <xf numFmtId="4" fontId="3" fillId="0" borderId="6" xfId="0" applyNumberFormat="1" applyFont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1" fillId="2" borderId="15" xfId="0" applyFont="1" applyFill="1" applyBorder="1" applyAlignment="1">
      <alignment vertical="center" wrapText="1"/>
    </xf>
    <xf numFmtId="4" fontId="3" fillId="0" borderId="16" xfId="0" applyNumberFormat="1" applyFont="1" applyBorder="1" applyAlignment="1">
      <alignment horizontal="right" vertical="center" wrapText="1"/>
    </xf>
    <xf numFmtId="3" fontId="2" fillId="6" borderId="5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workbookViewId="0">
      <selection activeCell="D95" sqref="D95"/>
    </sheetView>
  </sheetViews>
  <sheetFormatPr defaultRowHeight="30.75" customHeight="1"/>
  <cols>
    <col min="1" max="1" width="37.125" style="4" customWidth="1"/>
    <col min="2" max="2" width="93.5" style="5" customWidth="1"/>
    <col min="3" max="3" width="27.875" style="4" customWidth="1"/>
    <col min="4" max="4" width="28.125" style="9" customWidth="1"/>
    <col min="5" max="16384" width="9" style="4"/>
  </cols>
  <sheetData>
    <row r="1" spans="1:4" s="10" customFormat="1" ht="30.75" customHeight="1" thickBot="1">
      <c r="A1" s="11" t="s">
        <v>124</v>
      </c>
      <c r="B1" s="12" t="s">
        <v>125</v>
      </c>
      <c r="C1" s="11" t="s">
        <v>126</v>
      </c>
      <c r="D1" s="13" t="s">
        <v>128</v>
      </c>
    </row>
    <row r="2" spans="1:4" ht="30.75" customHeight="1" thickBot="1">
      <c r="A2" s="16" t="s">
        <v>93</v>
      </c>
      <c r="B2" s="17" t="s">
        <v>94</v>
      </c>
      <c r="C2" s="18">
        <v>4950</v>
      </c>
      <c r="D2" s="19">
        <v>4950</v>
      </c>
    </row>
    <row r="3" spans="1:4" ht="30.75" customHeight="1">
      <c r="A3" s="20" t="s">
        <v>23</v>
      </c>
      <c r="B3" s="21" t="s">
        <v>24</v>
      </c>
      <c r="C3" s="22">
        <v>503480</v>
      </c>
      <c r="D3" s="23">
        <f>C3+C4+C5+C6</f>
        <v>577760</v>
      </c>
    </row>
    <row r="4" spans="1:4" ht="30.75" customHeight="1">
      <c r="A4" s="24" t="s">
        <v>23</v>
      </c>
      <c r="B4" s="1" t="s">
        <v>24</v>
      </c>
      <c r="C4" s="2">
        <v>67080</v>
      </c>
      <c r="D4" s="25"/>
    </row>
    <row r="5" spans="1:4" ht="30.75" customHeight="1">
      <c r="A5" s="24" t="s">
        <v>23</v>
      </c>
      <c r="B5" s="1" t="s">
        <v>24</v>
      </c>
      <c r="C5" s="2">
        <v>5040</v>
      </c>
      <c r="D5" s="25"/>
    </row>
    <row r="6" spans="1:4" ht="30.75" customHeight="1" thickBot="1">
      <c r="A6" s="26" t="s">
        <v>23</v>
      </c>
      <c r="B6" s="27" t="s">
        <v>24</v>
      </c>
      <c r="C6" s="28">
        <v>2160</v>
      </c>
      <c r="D6" s="29"/>
    </row>
    <row r="7" spans="1:4" ht="30.75" customHeight="1">
      <c r="A7" s="20" t="s">
        <v>41</v>
      </c>
      <c r="B7" s="21" t="s">
        <v>42</v>
      </c>
      <c r="C7" s="22">
        <v>101500</v>
      </c>
      <c r="D7" s="23">
        <f>SUM(C7:C10)</f>
        <v>134500</v>
      </c>
    </row>
    <row r="8" spans="1:4" ht="30.75" customHeight="1">
      <c r="A8" s="24" t="s">
        <v>41</v>
      </c>
      <c r="B8" s="1" t="s">
        <v>42</v>
      </c>
      <c r="C8" s="2">
        <v>29000</v>
      </c>
      <c r="D8" s="25"/>
    </row>
    <row r="9" spans="1:4" ht="30.75" customHeight="1">
      <c r="A9" s="24" t="s">
        <v>41</v>
      </c>
      <c r="B9" s="1" t="s">
        <v>42</v>
      </c>
      <c r="C9" s="2">
        <v>3000</v>
      </c>
      <c r="D9" s="25"/>
    </row>
    <row r="10" spans="1:4" ht="30.75" customHeight="1" thickBot="1">
      <c r="A10" s="26" t="s">
        <v>41</v>
      </c>
      <c r="B10" s="27" t="s">
        <v>42</v>
      </c>
      <c r="C10" s="28">
        <v>1000</v>
      </c>
      <c r="D10" s="29"/>
    </row>
    <row r="11" spans="1:4" ht="30.75" customHeight="1">
      <c r="A11" s="20" t="s">
        <v>50</v>
      </c>
      <c r="B11" s="21" t="s">
        <v>51</v>
      </c>
      <c r="C11" s="22">
        <v>73600</v>
      </c>
      <c r="D11" s="23">
        <f>SUM(C11:C14)</f>
        <v>95600</v>
      </c>
    </row>
    <row r="12" spans="1:4" ht="30.75" customHeight="1">
      <c r="A12" s="24" t="s">
        <v>50</v>
      </c>
      <c r="B12" s="1" t="s">
        <v>51</v>
      </c>
      <c r="C12" s="2">
        <v>19600</v>
      </c>
      <c r="D12" s="25"/>
    </row>
    <row r="13" spans="1:4" ht="30.75" customHeight="1">
      <c r="A13" s="24" t="s">
        <v>50</v>
      </c>
      <c r="B13" s="1" t="s">
        <v>51</v>
      </c>
      <c r="C13" s="2">
        <v>1200</v>
      </c>
      <c r="D13" s="25"/>
    </row>
    <row r="14" spans="1:4" ht="30.75" customHeight="1" thickBot="1">
      <c r="A14" s="26" t="s">
        <v>50</v>
      </c>
      <c r="B14" s="27" t="s">
        <v>51</v>
      </c>
      <c r="C14" s="28">
        <v>1200</v>
      </c>
      <c r="D14" s="29"/>
    </row>
    <row r="15" spans="1:4" ht="30.75" customHeight="1">
      <c r="A15" s="20" t="s">
        <v>63</v>
      </c>
      <c r="B15" s="21" t="s">
        <v>27</v>
      </c>
      <c r="C15" s="22">
        <v>49292</v>
      </c>
      <c r="D15" s="23">
        <f>SUM(C15:C17)</f>
        <v>401592</v>
      </c>
    </row>
    <row r="16" spans="1:4" ht="30.75" customHeight="1">
      <c r="A16" s="24" t="s">
        <v>26</v>
      </c>
      <c r="B16" s="1" t="s">
        <v>27</v>
      </c>
      <c r="C16" s="2">
        <v>345244</v>
      </c>
      <c r="D16" s="25"/>
    </row>
    <row r="17" spans="1:4" ht="30.75" customHeight="1" thickBot="1">
      <c r="A17" s="26" t="s">
        <v>88</v>
      </c>
      <c r="B17" s="27" t="s">
        <v>27</v>
      </c>
      <c r="C17" s="28">
        <v>7056</v>
      </c>
      <c r="D17" s="29"/>
    </row>
    <row r="18" spans="1:4" ht="30.75" customHeight="1">
      <c r="A18" s="20" t="s">
        <v>89</v>
      </c>
      <c r="B18" s="21" t="s">
        <v>90</v>
      </c>
      <c r="C18" s="22">
        <v>6805</v>
      </c>
      <c r="D18" s="23">
        <f>SUM(C18:C19)</f>
        <v>8373</v>
      </c>
    </row>
    <row r="19" spans="1:4" ht="30.75" customHeight="1" thickBot="1">
      <c r="A19" s="26" t="s">
        <v>105</v>
      </c>
      <c r="B19" s="27" t="s">
        <v>106</v>
      </c>
      <c r="C19" s="28">
        <v>1568</v>
      </c>
      <c r="D19" s="29"/>
    </row>
    <row r="20" spans="1:4" ht="30.75" customHeight="1">
      <c r="A20" s="20" t="s">
        <v>122</v>
      </c>
      <c r="B20" s="21" t="s">
        <v>123</v>
      </c>
      <c r="C20" s="30">
        <v>200</v>
      </c>
      <c r="D20" s="31">
        <f>SUM(C20:C32)</f>
        <v>483163</v>
      </c>
    </row>
    <row r="21" spans="1:4" ht="30.75" customHeight="1">
      <c r="A21" s="24" t="s">
        <v>66</v>
      </c>
      <c r="B21" s="1" t="s">
        <v>67</v>
      </c>
      <c r="C21" s="2">
        <v>38613</v>
      </c>
      <c r="D21" s="32"/>
    </row>
    <row r="22" spans="1:4" ht="30.75" customHeight="1">
      <c r="A22" s="24" t="s">
        <v>117</v>
      </c>
      <c r="B22" s="1" t="s">
        <v>112</v>
      </c>
      <c r="C22" s="3">
        <v>500</v>
      </c>
      <c r="D22" s="32"/>
    </row>
    <row r="23" spans="1:4" ht="30.75" customHeight="1">
      <c r="A23" s="24" t="s">
        <v>35</v>
      </c>
      <c r="B23" s="1" t="s">
        <v>36</v>
      </c>
      <c r="C23" s="2">
        <v>256000</v>
      </c>
      <c r="D23" s="32"/>
    </row>
    <row r="24" spans="1:4" ht="30.75" customHeight="1">
      <c r="A24" s="24" t="s">
        <v>57</v>
      </c>
      <c r="B24" s="1" t="s">
        <v>58</v>
      </c>
      <c r="C24" s="2">
        <v>60000</v>
      </c>
      <c r="D24" s="32"/>
    </row>
    <row r="25" spans="1:4" ht="30.75" customHeight="1">
      <c r="A25" s="24" t="s">
        <v>53</v>
      </c>
      <c r="B25" s="1" t="s">
        <v>54</v>
      </c>
      <c r="C25" s="2">
        <v>63400</v>
      </c>
      <c r="D25" s="32"/>
    </row>
    <row r="26" spans="1:4" ht="30.75" customHeight="1">
      <c r="A26" s="24" t="s">
        <v>100</v>
      </c>
      <c r="B26" s="1" t="s">
        <v>101</v>
      </c>
      <c r="C26" s="2">
        <v>2600</v>
      </c>
      <c r="D26" s="32"/>
    </row>
    <row r="27" spans="1:4" ht="30.75" customHeight="1">
      <c r="A27" s="24" t="s">
        <v>111</v>
      </c>
      <c r="B27" s="1" t="s">
        <v>112</v>
      </c>
      <c r="C27" s="2">
        <v>1000</v>
      </c>
      <c r="D27" s="32"/>
    </row>
    <row r="28" spans="1:4" ht="30.75" customHeight="1">
      <c r="A28" s="24" t="s">
        <v>70</v>
      </c>
      <c r="B28" s="1" t="s">
        <v>71</v>
      </c>
      <c r="C28" s="2">
        <v>30000</v>
      </c>
      <c r="D28" s="32"/>
    </row>
    <row r="29" spans="1:4" ht="30.75" customHeight="1">
      <c r="A29" s="24" t="s">
        <v>75</v>
      </c>
      <c r="B29" s="1" t="s">
        <v>76</v>
      </c>
      <c r="C29" s="2">
        <v>21950</v>
      </c>
      <c r="D29" s="32"/>
    </row>
    <row r="30" spans="1:4" ht="30.75" customHeight="1">
      <c r="A30" s="24" t="s">
        <v>75</v>
      </c>
      <c r="B30" s="1" t="s">
        <v>76</v>
      </c>
      <c r="C30" s="2">
        <v>6500</v>
      </c>
      <c r="D30" s="32"/>
    </row>
    <row r="31" spans="1:4" ht="30.75" customHeight="1">
      <c r="A31" s="24" t="s">
        <v>75</v>
      </c>
      <c r="B31" s="1" t="s">
        <v>76</v>
      </c>
      <c r="C31" s="2">
        <v>1000</v>
      </c>
      <c r="D31" s="32"/>
    </row>
    <row r="32" spans="1:4" ht="30.75" customHeight="1" thickBot="1">
      <c r="A32" s="26" t="s">
        <v>107</v>
      </c>
      <c r="B32" s="27" t="s">
        <v>108</v>
      </c>
      <c r="C32" s="28">
        <v>1400</v>
      </c>
      <c r="D32" s="33"/>
    </row>
    <row r="33" spans="1:4" ht="30.75" customHeight="1" thickBot="1">
      <c r="A33" s="16" t="s">
        <v>32</v>
      </c>
      <c r="B33" s="17" t="s">
        <v>22</v>
      </c>
      <c r="C33" s="18">
        <v>320800</v>
      </c>
      <c r="D33" s="19">
        <v>320800</v>
      </c>
    </row>
    <row r="34" spans="1:4" ht="30.75" customHeight="1">
      <c r="A34" s="20" t="s">
        <v>28</v>
      </c>
      <c r="B34" s="21" t="s">
        <v>29</v>
      </c>
      <c r="C34" s="22">
        <v>339140</v>
      </c>
      <c r="D34" s="23">
        <f>SUM(C34:C36)</f>
        <v>404700</v>
      </c>
    </row>
    <row r="35" spans="1:4" ht="30.75" customHeight="1">
      <c r="A35" s="24" t="s">
        <v>28</v>
      </c>
      <c r="B35" s="1" t="s">
        <v>29</v>
      </c>
      <c r="C35" s="2">
        <v>57700</v>
      </c>
      <c r="D35" s="25"/>
    </row>
    <row r="36" spans="1:4" ht="30.75" customHeight="1" thickBot="1">
      <c r="A36" s="26" t="s">
        <v>28</v>
      </c>
      <c r="B36" s="27" t="s">
        <v>29</v>
      </c>
      <c r="C36" s="28">
        <v>7860</v>
      </c>
      <c r="D36" s="29"/>
    </row>
    <row r="37" spans="1:4" ht="30.75" customHeight="1" thickBot="1">
      <c r="A37" s="16" t="s">
        <v>59</v>
      </c>
      <c r="B37" s="17" t="s">
        <v>60</v>
      </c>
      <c r="C37" s="18">
        <v>50823</v>
      </c>
      <c r="D37" s="19">
        <v>50823</v>
      </c>
    </row>
    <row r="38" spans="1:4" ht="30.75" customHeight="1" thickBot="1">
      <c r="A38" s="16" t="s">
        <v>109</v>
      </c>
      <c r="B38" s="17" t="s">
        <v>110</v>
      </c>
      <c r="C38" s="18">
        <v>1050</v>
      </c>
      <c r="D38" s="19">
        <v>1050</v>
      </c>
    </row>
    <row r="39" spans="1:4" ht="30.75" customHeight="1">
      <c r="A39" s="20" t="s">
        <v>72</v>
      </c>
      <c r="B39" s="21" t="s">
        <v>22</v>
      </c>
      <c r="C39" s="22">
        <v>28240</v>
      </c>
      <c r="D39" s="23">
        <f>SUM(C39:C42)</f>
        <v>406720</v>
      </c>
    </row>
    <row r="40" spans="1:4" ht="30.75" customHeight="1">
      <c r="A40" s="24" t="s">
        <v>30</v>
      </c>
      <c r="B40" s="1" t="s">
        <v>31</v>
      </c>
      <c r="C40" s="2">
        <v>327030</v>
      </c>
      <c r="D40" s="25"/>
    </row>
    <row r="41" spans="1:4" ht="30.75" customHeight="1">
      <c r="A41" s="24" t="s">
        <v>113</v>
      </c>
      <c r="B41" s="1" t="s">
        <v>114</v>
      </c>
      <c r="C41" s="2">
        <v>1000</v>
      </c>
      <c r="D41" s="25"/>
    </row>
    <row r="42" spans="1:4" ht="30.75" customHeight="1" thickBot="1">
      <c r="A42" s="26" t="s">
        <v>61</v>
      </c>
      <c r="B42" s="27" t="s">
        <v>62</v>
      </c>
      <c r="C42" s="28">
        <v>50450</v>
      </c>
      <c r="D42" s="29"/>
    </row>
    <row r="43" spans="1:4" ht="30.75" customHeight="1">
      <c r="A43" s="20" t="s">
        <v>81</v>
      </c>
      <c r="B43" s="21" t="s">
        <v>82</v>
      </c>
      <c r="C43" s="34">
        <v>11812</v>
      </c>
      <c r="D43" s="35"/>
    </row>
    <row r="44" spans="1:4" ht="30.75" customHeight="1">
      <c r="A44" s="24" t="s">
        <v>17</v>
      </c>
      <c r="B44" s="1" t="s">
        <v>18</v>
      </c>
      <c r="C44" s="7">
        <v>594675</v>
      </c>
      <c r="D44" s="36"/>
    </row>
    <row r="45" spans="1:4" ht="30.75" customHeight="1">
      <c r="A45" s="24" t="s">
        <v>102</v>
      </c>
      <c r="B45" s="1" t="s">
        <v>87</v>
      </c>
      <c r="C45" s="6">
        <v>1843</v>
      </c>
      <c r="D45" s="36"/>
    </row>
    <row r="46" spans="1:4" ht="30.75" customHeight="1">
      <c r="A46" s="24" t="s">
        <v>25</v>
      </c>
      <c r="B46" s="1" t="s">
        <v>0</v>
      </c>
      <c r="C46" s="7">
        <v>498721</v>
      </c>
      <c r="D46" s="36"/>
    </row>
    <row r="47" spans="1:4" ht="30.75" customHeight="1">
      <c r="A47" s="24" t="s">
        <v>83</v>
      </c>
      <c r="B47" s="1" t="s">
        <v>12</v>
      </c>
      <c r="C47" s="6">
        <v>9546</v>
      </c>
      <c r="D47" s="36"/>
    </row>
    <row r="48" spans="1:4" ht="30.75" customHeight="1">
      <c r="A48" s="24" t="s">
        <v>47</v>
      </c>
      <c r="B48" s="1" t="s">
        <v>18</v>
      </c>
      <c r="C48" s="7">
        <v>79455</v>
      </c>
      <c r="D48" s="36"/>
    </row>
    <row r="49" spans="1:4" ht="30.75" customHeight="1">
      <c r="A49" s="24" t="s">
        <v>86</v>
      </c>
      <c r="B49" s="1" t="s">
        <v>87</v>
      </c>
      <c r="C49" s="6">
        <v>7185</v>
      </c>
      <c r="D49" s="36"/>
    </row>
    <row r="50" spans="1:4" ht="30.75" customHeight="1">
      <c r="A50" s="24" t="s">
        <v>5</v>
      </c>
      <c r="B50" s="1" t="s">
        <v>6</v>
      </c>
      <c r="C50" s="7">
        <v>2801330</v>
      </c>
      <c r="D50" s="36"/>
    </row>
    <row r="51" spans="1:4" ht="30.75" customHeight="1">
      <c r="A51" s="24" t="s">
        <v>127</v>
      </c>
      <c r="B51" s="1" t="s">
        <v>0</v>
      </c>
      <c r="C51" s="7">
        <v>44065397</v>
      </c>
      <c r="D51" s="36"/>
    </row>
    <row r="52" spans="1:4" ht="30.75" customHeight="1">
      <c r="A52" s="24" t="s">
        <v>11</v>
      </c>
      <c r="B52" s="1" t="s">
        <v>12</v>
      </c>
      <c r="C52" s="7">
        <v>1268482</v>
      </c>
      <c r="D52" s="36"/>
    </row>
    <row r="53" spans="1:4" ht="30.75" customHeight="1">
      <c r="A53" s="24" t="s">
        <v>91</v>
      </c>
      <c r="B53" s="1" t="s">
        <v>92</v>
      </c>
      <c r="C53" s="6">
        <v>4992</v>
      </c>
      <c r="D53" s="36"/>
    </row>
    <row r="54" spans="1:4" ht="30.75" customHeight="1">
      <c r="A54" s="24" t="s">
        <v>55</v>
      </c>
      <c r="B54" s="1" t="s">
        <v>56</v>
      </c>
      <c r="C54" s="7">
        <v>62473</v>
      </c>
      <c r="D54" s="36"/>
    </row>
    <row r="55" spans="1:4" ht="30.75" customHeight="1">
      <c r="A55" s="24" t="s">
        <v>19</v>
      </c>
      <c r="B55" s="1" t="s">
        <v>20</v>
      </c>
      <c r="C55" s="7">
        <v>591208</v>
      </c>
      <c r="D55" s="36"/>
    </row>
    <row r="56" spans="1:4" ht="30.75" customHeight="1">
      <c r="A56" s="24" t="s">
        <v>37</v>
      </c>
      <c r="B56" s="1" t="s">
        <v>38</v>
      </c>
      <c r="C56" s="7">
        <v>248014</v>
      </c>
      <c r="D56" s="36"/>
    </row>
    <row r="57" spans="1:4" ht="30.75" customHeight="1">
      <c r="A57" s="24" t="s">
        <v>98</v>
      </c>
      <c r="B57" s="1" t="s">
        <v>99</v>
      </c>
      <c r="C57" s="6">
        <v>3226</v>
      </c>
      <c r="D57" s="36"/>
    </row>
    <row r="58" spans="1:4" ht="30.75" customHeight="1" thickBot="1">
      <c r="A58" s="26" t="s">
        <v>68</v>
      </c>
      <c r="B58" s="27" t="s">
        <v>69</v>
      </c>
      <c r="C58" s="37">
        <v>30960</v>
      </c>
      <c r="D58" s="38"/>
    </row>
    <row r="59" spans="1:4" ht="30.75" customHeight="1">
      <c r="A59" s="20" t="s">
        <v>115</v>
      </c>
      <c r="B59" s="21" t="s">
        <v>116</v>
      </c>
      <c r="C59" s="30">
        <v>900</v>
      </c>
      <c r="D59" s="35"/>
    </row>
    <row r="60" spans="1:4" ht="30.75" customHeight="1">
      <c r="A60" s="24" t="s">
        <v>103</v>
      </c>
      <c r="B60" s="1" t="s">
        <v>104</v>
      </c>
      <c r="C60" s="2">
        <v>1650</v>
      </c>
      <c r="D60" s="36"/>
    </row>
    <row r="61" spans="1:4" ht="30.75" customHeight="1">
      <c r="A61" s="24" t="s">
        <v>33</v>
      </c>
      <c r="B61" s="1" t="s">
        <v>34</v>
      </c>
      <c r="C61" s="2">
        <v>296045</v>
      </c>
      <c r="D61" s="36"/>
    </row>
    <row r="62" spans="1:4" ht="30.75" customHeight="1">
      <c r="A62" s="24" t="s">
        <v>120</v>
      </c>
      <c r="B62" s="1" t="s">
        <v>121</v>
      </c>
      <c r="C62" s="3">
        <v>390</v>
      </c>
      <c r="D62" s="36"/>
    </row>
    <row r="63" spans="1:4" ht="30.75" customHeight="1">
      <c r="A63" s="24" t="s">
        <v>79</v>
      </c>
      <c r="B63" s="1" t="s">
        <v>80</v>
      </c>
      <c r="C63" s="2">
        <v>14137</v>
      </c>
      <c r="D63" s="36"/>
    </row>
    <row r="64" spans="1:4" ht="30.75" customHeight="1">
      <c r="A64" s="24" t="s">
        <v>52</v>
      </c>
      <c r="B64" s="1" t="s">
        <v>34</v>
      </c>
      <c r="C64" s="2">
        <v>69988</v>
      </c>
      <c r="D64" s="36"/>
    </row>
    <row r="65" spans="1:4" ht="30.75" customHeight="1" thickBot="1">
      <c r="A65" s="26" t="s">
        <v>97</v>
      </c>
      <c r="B65" s="27" t="s">
        <v>80</v>
      </c>
      <c r="C65" s="28">
        <v>3236</v>
      </c>
      <c r="D65" s="38"/>
    </row>
    <row r="66" spans="1:4" ht="30.75" customHeight="1">
      <c r="A66" s="20" t="s">
        <v>3</v>
      </c>
      <c r="B66" s="21" t="s">
        <v>4</v>
      </c>
      <c r="C66" s="39">
        <v>4900133</v>
      </c>
      <c r="D66" s="35"/>
    </row>
    <row r="67" spans="1:4" ht="30.75" customHeight="1">
      <c r="A67" s="24" t="s">
        <v>21</v>
      </c>
      <c r="B67" s="1" t="s">
        <v>22</v>
      </c>
      <c r="C67" s="8">
        <v>507520</v>
      </c>
      <c r="D67" s="36"/>
    </row>
    <row r="68" spans="1:4" ht="30.75" customHeight="1">
      <c r="A68" s="24" t="s">
        <v>45</v>
      </c>
      <c r="B68" s="1" t="s">
        <v>46</v>
      </c>
      <c r="C68" s="8">
        <v>81125</v>
      </c>
      <c r="D68" s="36"/>
    </row>
    <row r="69" spans="1:4" ht="30.75" customHeight="1">
      <c r="A69" s="24" t="s">
        <v>15</v>
      </c>
      <c r="B69" s="1" t="s">
        <v>16</v>
      </c>
      <c r="C69" s="8">
        <v>820271</v>
      </c>
      <c r="D69" s="36"/>
    </row>
    <row r="70" spans="1:4" ht="30.75" customHeight="1">
      <c r="A70" s="24" t="s">
        <v>1</v>
      </c>
      <c r="B70" s="1" t="s">
        <v>2</v>
      </c>
      <c r="C70" s="8">
        <v>4992735</v>
      </c>
      <c r="D70" s="36"/>
    </row>
    <row r="71" spans="1:4" ht="30.75" customHeight="1">
      <c r="A71" s="24" t="s">
        <v>48</v>
      </c>
      <c r="B71" s="1" t="s">
        <v>49</v>
      </c>
      <c r="C71" s="8">
        <v>76894</v>
      </c>
      <c r="D71" s="36"/>
    </row>
    <row r="72" spans="1:4" ht="30.75" customHeight="1" thickBot="1">
      <c r="A72" s="26" t="s">
        <v>13</v>
      </c>
      <c r="B72" s="27" t="s">
        <v>14</v>
      </c>
      <c r="C72" s="40">
        <v>885049</v>
      </c>
      <c r="D72" s="38"/>
    </row>
    <row r="73" spans="1:4" ht="30.75" customHeight="1" thickBot="1">
      <c r="A73" s="16" t="s">
        <v>9</v>
      </c>
      <c r="B73" s="17" t="s">
        <v>10</v>
      </c>
      <c r="C73" s="41">
        <v>1895000</v>
      </c>
      <c r="D73" s="42"/>
    </row>
    <row r="74" spans="1:4" ht="30.75" customHeight="1">
      <c r="A74" s="20" t="s">
        <v>73</v>
      </c>
      <c r="B74" s="21" t="s">
        <v>74</v>
      </c>
      <c r="C74" s="22">
        <v>26880</v>
      </c>
      <c r="D74" s="23">
        <f>SUM(C74:C91)</f>
        <v>2962185</v>
      </c>
    </row>
    <row r="75" spans="1:4" ht="30.75" customHeight="1">
      <c r="A75" s="24" t="s">
        <v>73</v>
      </c>
      <c r="B75" s="1" t="s">
        <v>74</v>
      </c>
      <c r="C75" s="2">
        <v>2850</v>
      </c>
      <c r="D75" s="25"/>
    </row>
    <row r="76" spans="1:4" ht="30.75" customHeight="1">
      <c r="A76" s="24" t="s">
        <v>73</v>
      </c>
      <c r="B76" s="1" t="s">
        <v>74</v>
      </c>
      <c r="C76" s="3">
        <v>570</v>
      </c>
      <c r="D76" s="25"/>
    </row>
    <row r="77" spans="1:4" ht="30.75" customHeight="1">
      <c r="A77" s="24" t="s">
        <v>77</v>
      </c>
      <c r="B77" s="1" t="s">
        <v>78</v>
      </c>
      <c r="C77" s="2">
        <v>20925</v>
      </c>
      <c r="D77" s="25"/>
    </row>
    <row r="78" spans="1:4" ht="30.75" customHeight="1">
      <c r="A78" s="24" t="s">
        <v>77</v>
      </c>
      <c r="B78" s="1" t="s">
        <v>78</v>
      </c>
      <c r="C78" s="2">
        <v>2625</v>
      </c>
      <c r="D78" s="25"/>
    </row>
    <row r="79" spans="1:4" ht="30.75" customHeight="1">
      <c r="A79" s="24" t="s">
        <v>77</v>
      </c>
      <c r="B79" s="1" t="s">
        <v>78</v>
      </c>
      <c r="C79" s="3">
        <v>375</v>
      </c>
      <c r="D79" s="25"/>
    </row>
    <row r="80" spans="1:4" ht="30.75" customHeight="1">
      <c r="A80" s="24" t="s">
        <v>77</v>
      </c>
      <c r="B80" s="1" t="s">
        <v>78</v>
      </c>
      <c r="C80" s="3">
        <v>75</v>
      </c>
      <c r="D80" s="25"/>
    </row>
    <row r="81" spans="1:4" ht="30.75" customHeight="1">
      <c r="A81" s="24" t="s">
        <v>43</v>
      </c>
      <c r="B81" s="1" t="s">
        <v>44</v>
      </c>
      <c r="C81" s="2">
        <v>81180</v>
      </c>
      <c r="D81" s="25"/>
    </row>
    <row r="82" spans="1:4" ht="30.75" customHeight="1">
      <c r="A82" s="24" t="s">
        <v>43</v>
      </c>
      <c r="B82" s="1" t="s">
        <v>44</v>
      </c>
      <c r="C82" s="2">
        <v>3900</v>
      </c>
      <c r="D82" s="25"/>
    </row>
    <row r="83" spans="1:4" ht="30.75" customHeight="1">
      <c r="A83" s="24" t="s">
        <v>43</v>
      </c>
      <c r="B83" s="1" t="s">
        <v>44</v>
      </c>
      <c r="C83" s="3">
        <v>900</v>
      </c>
      <c r="D83" s="25"/>
    </row>
    <row r="84" spans="1:4" ht="30.75" customHeight="1">
      <c r="A84" s="24" t="s">
        <v>43</v>
      </c>
      <c r="B84" s="1" t="s">
        <v>44</v>
      </c>
      <c r="C84" s="3">
        <v>600</v>
      </c>
      <c r="D84" s="25"/>
    </row>
    <row r="85" spans="1:4" ht="30.75" customHeight="1">
      <c r="A85" s="24" t="s">
        <v>118</v>
      </c>
      <c r="B85" s="1" t="s">
        <v>119</v>
      </c>
      <c r="C85" s="3">
        <v>455</v>
      </c>
      <c r="D85" s="25"/>
    </row>
    <row r="86" spans="1:4" ht="30.75" customHeight="1">
      <c r="A86" s="24" t="s">
        <v>118</v>
      </c>
      <c r="B86" s="1" t="s">
        <v>119</v>
      </c>
      <c r="C86" s="3">
        <v>260</v>
      </c>
      <c r="D86" s="25"/>
    </row>
    <row r="87" spans="1:4" ht="30.75" customHeight="1">
      <c r="A87" s="24" t="s">
        <v>7</v>
      </c>
      <c r="B87" s="1" t="s">
        <v>8</v>
      </c>
      <c r="C87" s="2">
        <v>2711220</v>
      </c>
      <c r="D87" s="25"/>
    </row>
    <row r="88" spans="1:4" ht="30.75" customHeight="1">
      <c r="A88" s="24" t="s">
        <v>7</v>
      </c>
      <c r="B88" s="1" t="s">
        <v>8</v>
      </c>
      <c r="C88" s="2">
        <v>59880</v>
      </c>
      <c r="D88" s="25"/>
    </row>
    <row r="89" spans="1:4" ht="30.75" customHeight="1">
      <c r="A89" s="24" t="s">
        <v>7</v>
      </c>
      <c r="B89" s="1" t="s">
        <v>8</v>
      </c>
      <c r="C89" s="2">
        <v>33700</v>
      </c>
      <c r="D89" s="25"/>
    </row>
    <row r="90" spans="1:4" ht="30.75" customHeight="1">
      <c r="A90" s="24" t="s">
        <v>7</v>
      </c>
      <c r="B90" s="1" t="s">
        <v>8</v>
      </c>
      <c r="C90" s="2">
        <v>15690</v>
      </c>
      <c r="D90" s="25"/>
    </row>
    <row r="91" spans="1:4" ht="30.75" customHeight="1" thickBot="1">
      <c r="A91" s="26" t="s">
        <v>7</v>
      </c>
      <c r="B91" s="27" t="s">
        <v>8</v>
      </c>
      <c r="C91" s="43">
        <v>100</v>
      </c>
      <c r="D91" s="29"/>
    </row>
    <row r="92" spans="1:4" ht="30.75" customHeight="1" thickBot="1">
      <c r="A92" s="16" t="s">
        <v>64</v>
      </c>
      <c r="B92" s="17" t="s">
        <v>65</v>
      </c>
      <c r="C92" s="18">
        <v>40000</v>
      </c>
      <c r="D92" s="42"/>
    </row>
    <row r="93" spans="1:4" ht="30.75" customHeight="1" thickBot="1">
      <c r="A93" s="16" t="s">
        <v>39</v>
      </c>
      <c r="B93" s="17" t="s">
        <v>40</v>
      </c>
      <c r="C93" s="46">
        <v>136700</v>
      </c>
      <c r="D93" s="42"/>
    </row>
    <row r="94" spans="1:4" ht="30.75" customHeight="1">
      <c r="A94" s="44" t="s">
        <v>84</v>
      </c>
      <c r="B94" s="14" t="s">
        <v>85</v>
      </c>
      <c r="C94" s="15">
        <v>8530</v>
      </c>
      <c r="D94" s="45"/>
    </row>
    <row r="95" spans="1:4" ht="30.75" customHeight="1" thickBot="1">
      <c r="A95" s="26" t="s">
        <v>95</v>
      </c>
      <c r="B95" s="27" t="s">
        <v>96</v>
      </c>
      <c r="C95" s="28">
        <v>4389</v>
      </c>
      <c r="D95" s="38"/>
    </row>
  </sheetData>
  <sortState ref="A2:C95">
    <sortCondition ref="A2:A95"/>
    <sortCondition ref="B2:B95"/>
    <sortCondition descending="1" ref="C2:C95"/>
  </sortState>
  <mergeCells count="9">
    <mergeCell ref="D20:D32"/>
    <mergeCell ref="D34:D36"/>
    <mergeCell ref="D39:D42"/>
    <mergeCell ref="D74:D91"/>
    <mergeCell ref="D3:D6"/>
    <mergeCell ref="D7:D10"/>
    <mergeCell ref="D11:D14"/>
    <mergeCell ref="D15:D17"/>
    <mergeCell ref="D18:D1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2023-09-13T02:49:05Z</dcterms:modified>
</cp:coreProperties>
</file>